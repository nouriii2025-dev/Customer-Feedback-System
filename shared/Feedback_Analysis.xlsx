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dback" sheetId="1" state="visible" r:id="rId1"/>
    <sheet name="Summary" sheetId="2" state="visible" r:id="rId2"/>
  </sheets>
  <definedNames>
    <definedName name="_xlnm._FilterDatabase" localSheetId="0" hidden="1">'Feedback'!$A$1:$H$2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4"/>
    </font>
  </fonts>
  <fills count="3">
    <fill>
      <patternFill/>
    </fill>
    <fill>
      <patternFill patternType="gray125"/>
    </fill>
    <fill>
      <patternFill patternType="solid">
        <fgColor rgb="0014202B"/>
      </patternFill>
    </fill>
  </fills>
  <borders count="2">
    <border>
      <left/>
      <right/>
      <top/>
      <bottom/>
      <diagonal/>
    </border>
    <border>
      <bottom style="thin">
        <color rgb="00E3E8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vertical="top"/>
    </xf>
    <xf numFmtId="165" fontId="2" fillId="0" borderId="1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4" customWidth="1" min="3" max="3"/>
    <col width="24" customWidth="1" min="4" max="4"/>
    <col width="30" customWidth="1" min="5" max="5"/>
    <col width="13" customWidth="1" min="6" max="6"/>
    <col width="17" customWidth="1" min="7" max="7"/>
    <col width="70" customWidth="1" min="8" max="8"/>
  </cols>
  <sheetData>
    <row r="1" ht="24" customHeight="1">
      <c r="A1" s="1" t="inlineStr">
        <is>
          <t>ID</t>
        </is>
      </c>
      <c r="B1" s="1" t="inlineStr">
        <is>
          <t>Submitted</t>
        </is>
      </c>
      <c r="C1" s="1" t="inlineStr">
        <is>
          <t>Customer</t>
        </is>
      </c>
      <c r="D1" s="1" t="inlineStr">
        <is>
          <t>Company</t>
        </is>
      </c>
      <c r="E1" s="1" t="inlineStr">
        <is>
          <t>Email</t>
        </is>
      </c>
      <c r="F1" s="1" t="inlineStr">
        <is>
          <t>Rating (1-5)</t>
        </is>
      </c>
      <c r="G1" s="1" t="inlineStr">
        <is>
          <t>Would recommend</t>
        </is>
      </c>
      <c r="H1" s="1" t="inlineStr">
        <is>
          <t>Feedback</t>
        </is>
      </c>
    </row>
    <row r="2">
      <c r="A2" s="2" t="n">
        <v>1</v>
      </c>
      <c r="B2" s="3" t="n">
        <v>46309.54555740702</v>
      </c>
      <c r="C2" s="2" t="inlineStr">
        <is>
          <t>Fathima Nourin</t>
        </is>
      </c>
      <c r="D2" s="2" t="inlineStr">
        <is>
          <t>Accutech Automation</t>
        </is>
      </c>
      <c r="E2" s="2" t="inlineStr">
        <is>
          <t>nouriii2025@gmail.com</t>
        </is>
      </c>
      <c r="F2" s="4" t="n">
        <v>4</v>
      </c>
      <c r="G2" s="2" t="inlineStr">
        <is>
          <t>Yes</t>
        </is>
      </c>
      <c r="H2" s="5" t="inlineStr">
        <is>
          <t>The provided services were really impressive.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</cols>
  <sheetData>
    <row r="1">
      <c r="A1" s="6" t="inlineStr">
        <is>
          <t>Feedback summary</t>
        </is>
      </c>
    </row>
    <row r="3">
      <c r="A3" t="inlineStr">
        <is>
          <t>Total responses</t>
        </is>
      </c>
      <c r="B3">
        <f>COUNTA(Feedback!A2:A100000)</f>
        <v/>
      </c>
    </row>
    <row r="4">
      <c r="A4" t="inlineStr">
        <is>
          <t>Average rating</t>
        </is>
      </c>
      <c r="B4">
        <f>IFERROR(ROUND(AVERAGE(Feedback!F2:F100000),2),0)</f>
        <v/>
      </c>
    </row>
    <row r="5">
      <c r="A5" t="inlineStr">
        <is>
          <t>Would recommend</t>
        </is>
      </c>
      <c r="B5" s="7">
        <f>IFERROR(COUNTIF(Feedback!G2:G100000,"Yes")/COUNTA(Feedback!A2:A100000),0)</f>
        <v/>
      </c>
    </row>
    <row r="7">
      <c r="A7" t="inlineStr">
        <is>
          <t>5-star ratings</t>
        </is>
      </c>
      <c r="B7">
        <f>COUNTIF(Feedback!F2:F100000,5)</f>
        <v/>
      </c>
    </row>
    <row r="8">
      <c r="A8" t="inlineStr">
        <is>
          <t>4-star ratings</t>
        </is>
      </c>
      <c r="B8">
        <f>COUNTIF(Feedback!F2:F100000,4)</f>
        <v/>
      </c>
    </row>
    <row r="9">
      <c r="A9" t="inlineStr">
        <is>
          <t>3-star ratings</t>
        </is>
      </c>
      <c r="B9">
        <f>COUNTIF(Feedback!F2:F100000,3)</f>
        <v/>
      </c>
    </row>
    <row r="10">
      <c r="A10" t="inlineStr">
        <is>
          <t>2-star ratings</t>
        </is>
      </c>
      <c r="B10">
        <f>COUNTIF(Feedback!F2:F100000,2)</f>
        <v/>
      </c>
    </row>
    <row r="11">
      <c r="A11" t="inlineStr">
        <is>
          <t>1-star ratings</t>
        </is>
      </c>
      <c r="B11">
        <f>COUNTIF(Feedback!F2:F100000,1)</f>
        <v/>
      </c>
    </row>
    <row r="14">
      <c r="A14" t="inlineStr">
        <is>
          <t>Last updated</t>
        </is>
      </c>
      <c r="B14" t="inlineStr">
        <is>
          <t>2026-10-14 13:05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2026-10-14T09:05:48Z</dcterms:created>
  <dcterms:modified xsi:type="dcterms:W3CDTF">2026-10-14T09:05:48Z</dcterms:modified>
</cp:coreProperties>
</file>